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Log" sheetId="3" state="visible" r:id="rId3"/>
  </sheets>
  <definedNames>
    <definedName name="_xlnm._FilterDatabase" localSheetId="0" hidden="1">'Tracker'!$A$1:$T$21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00B050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.indeed.com/aabxbfxqfbrl" TargetMode="External" Id="rId1"/><Relationship Type="http://schemas.openxmlformats.org/officeDocument/2006/relationships/hyperlink" Target="https://to.indeed.com/aabsbhvrsgsy" TargetMode="External" Id="rId2"/><Relationship Type="http://schemas.openxmlformats.org/officeDocument/2006/relationships/hyperlink" Target="https://to.indeed.com/aa9xsqqsghyp" TargetMode="External" Id="rId3"/><Relationship Type="http://schemas.openxmlformats.org/officeDocument/2006/relationships/hyperlink" Target="https://to.indeed.com/aav7h67bklk6" TargetMode="External" Id="rId4"/><Relationship Type="http://schemas.openxmlformats.org/officeDocument/2006/relationships/hyperlink" Target="https://to.indeed.com/aazbsmhmy8dj" TargetMode="External" Id="rId5"/><Relationship Type="http://schemas.openxmlformats.org/officeDocument/2006/relationships/hyperlink" Target="https://to.indeed.com/aarktxbpmqk2" TargetMode="External" Id="rId6"/><Relationship Type="http://schemas.openxmlformats.org/officeDocument/2006/relationships/hyperlink" Target="https://to.indeed.com/aaccndrlwjqr" TargetMode="External" Id="rId7"/><Relationship Type="http://schemas.openxmlformats.org/officeDocument/2006/relationships/hyperlink" Target="https://to.indeed.com/aatxcsxtfxrd" TargetMode="External" Id="rId8"/><Relationship Type="http://schemas.openxmlformats.org/officeDocument/2006/relationships/hyperlink" Target="https://to.indeed.com/aan2mwwz9bjm" TargetMode="External" Id="rId9"/><Relationship Type="http://schemas.openxmlformats.org/officeDocument/2006/relationships/hyperlink" Target="https://to.indeed.com/aayfhqcw9k6h" TargetMode="External" Id="rId10"/><Relationship Type="http://schemas.openxmlformats.org/officeDocument/2006/relationships/hyperlink" Target="https://to.indeed.com/aajldkw9yj44" TargetMode="External" Id="rId11"/><Relationship Type="http://schemas.openxmlformats.org/officeDocument/2006/relationships/hyperlink" Target="https://to.indeed.com/aazphskdbn6k" TargetMode="External" Id="rId12"/><Relationship Type="http://schemas.openxmlformats.org/officeDocument/2006/relationships/hyperlink" Target="https://to.indeed.com/aav7s98xwrcm" TargetMode="External" Id="rId13"/><Relationship Type="http://schemas.openxmlformats.org/officeDocument/2006/relationships/hyperlink" Target="https://to.indeed.com/aaggllnymwvx" TargetMode="External" Id="rId14"/><Relationship Type="http://schemas.openxmlformats.org/officeDocument/2006/relationships/hyperlink" Target="https://to.indeed.com/aa9zlpp87bgl" TargetMode="External" Id="rId15"/><Relationship Type="http://schemas.openxmlformats.org/officeDocument/2006/relationships/hyperlink" Target="https://to.indeed.com/aag6xkrxbv2h" TargetMode="External" Id="rId16"/><Relationship Type="http://schemas.openxmlformats.org/officeDocument/2006/relationships/hyperlink" Target="https://to.indeed.com/aa8pjfrp9cbd" TargetMode="External" Id="rId17"/><Relationship Type="http://schemas.openxmlformats.org/officeDocument/2006/relationships/hyperlink" Target="https://to.indeed.com/aat8gq8ctnls" TargetMode="External" Id="rId18"/><Relationship Type="http://schemas.openxmlformats.org/officeDocument/2006/relationships/hyperlink" Target="https://to.indeed.com/aa9cz28swn6w" TargetMode="External" Id="rId19"/><Relationship Type="http://schemas.openxmlformats.org/officeDocument/2006/relationships/hyperlink" Target="https://to.indeed.com/aadtwsq7ghq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6" customWidth="1" min="3" max="3"/>
    <col width="34" customWidth="1" min="4" max="4"/>
    <col width="24" customWidth="1" min="5" max="5"/>
    <col width="16" customWidth="1" min="6" max="6"/>
    <col width="16" customWidth="1" min="7" max="7"/>
    <col width="16" customWidth="1" min="8" max="8"/>
    <col width="11" customWidth="1" min="9" max="9"/>
    <col width="9" customWidth="1" min="10" max="10"/>
    <col width="13" customWidth="1" min="11" max="11"/>
    <col width="10" customWidth="1" min="12" max="12"/>
    <col width="15" customWidth="1" min="13" max="13"/>
    <col width="48" customWidth="1" min="14" max="14"/>
    <col width="42" customWidth="1" min="15" max="15"/>
    <col width="14" customWidth="1" min="16" max="16"/>
    <col width="12" customWidth="1" min="17" max="17"/>
    <col width="13" customWidth="1" min="18" max="18"/>
    <col width="24" customWidth="1" min="19" max="19"/>
    <col width="40" customWidth="1" min="20" max="20"/>
  </cols>
  <sheetData>
    <row r="1" ht="32" customHeight="1">
      <c r="A1" s="1" t="inlineStr">
        <is>
          <t>#</t>
        </is>
      </c>
      <c r="B1" s="1" t="inlineStr">
        <is>
          <t>Date Found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Work Mode</t>
        </is>
      </c>
      <c r="G1" s="1" t="inlineStr">
        <is>
          <t>Experience Req.</t>
        </is>
      </c>
      <c r="H1" s="1" t="inlineStr">
        <is>
          <t>Salary</t>
        </is>
      </c>
      <c r="I1" s="1" t="inlineStr">
        <is>
          <t>Posted</t>
        </is>
      </c>
      <c r="J1" s="1" t="inlineStr">
        <is>
          <t>Source</t>
        </is>
      </c>
      <c r="K1" s="1" t="inlineStr">
        <is>
          <t>Apply Link</t>
        </is>
      </c>
      <c r="L1" s="1" t="inlineStr">
        <is>
          <t>Fit Score (/10)</t>
        </is>
      </c>
      <c r="M1" s="1" t="inlineStr">
        <is>
          <t>Recommendation</t>
        </is>
      </c>
      <c r="N1" s="1" t="inlineStr">
        <is>
          <t>Matching Strengths</t>
        </is>
      </c>
      <c r="O1" s="1" t="inlineStr">
        <is>
          <t>Gaps</t>
        </is>
      </c>
      <c r="P1" s="1" t="inlineStr">
        <is>
          <t>Status</t>
        </is>
      </c>
      <c r="Q1" s="1" t="inlineStr">
        <is>
          <t>Date Applied</t>
        </is>
      </c>
      <c r="R1" s="1" t="inlineStr">
        <is>
          <t>Follow-up Date</t>
        </is>
      </c>
      <c r="S1" s="1" t="inlineStr">
        <is>
          <t>Response / Next Step</t>
        </is>
      </c>
      <c r="T1" s="1" t="inlineStr">
        <is>
          <t>Notes</t>
        </is>
      </c>
    </row>
    <row r="2">
      <c r="A2" s="2" t="n">
        <v>1</v>
      </c>
      <c r="B2" s="2" t="inlineStr">
        <is>
          <t>2026-10-12</t>
        </is>
      </c>
      <c r="C2" s="2" t="inlineStr">
        <is>
          <t>Madariz Impex (Filumart.com)</t>
        </is>
      </c>
      <c r="D2" s="2" t="inlineStr">
        <is>
          <t>AI / ML Engineer – LLM &amp; AI Agents</t>
        </is>
      </c>
      <c r="E2" s="2" t="inlineStr">
        <is>
          <t>Aluva / Ernakulam, Kerala</t>
        </is>
      </c>
      <c r="F2" s="2" t="inlineStr">
        <is>
          <t>On-site</t>
        </is>
      </c>
      <c r="G2" s="2" t="inlineStr">
        <is>
          <t>1–2 yrs</t>
        </is>
      </c>
      <c r="H2" s="2" t="inlineStr">
        <is>
          <t>₹25k–45k / month</t>
        </is>
      </c>
      <c r="I2" s="2" t="inlineStr">
        <is>
          <t>2026-09-25</t>
        </is>
      </c>
      <c r="J2" s="2" t="inlineStr">
        <is>
          <t>Indeed</t>
        </is>
      </c>
      <c r="K2" s="3" t="inlineStr">
        <is>
          <t>Open posting</t>
        </is>
      </c>
      <c r="L2" s="2" t="n">
        <v>8.5</v>
      </c>
      <c r="M2" s="2" t="inlineStr">
        <is>
          <t>APPLY</t>
        </is>
      </c>
      <c r="N2" s="2" t="inlineStr">
        <is>
          <t>LLM apps, AI agents, LangChain/LangGraph, structured outputs, FastAPI, Docker, Python, SQL – near-exact match; experience band fits</t>
        </is>
      </c>
      <c r="O2" s="2" t="inlineStr">
        <is>
          <t>LoRA/QLoRA fine-tuning, Azure, TypeScript, MongoDB/Redis</t>
        </is>
      </c>
      <c r="P2" s="2" t="inlineStr">
        <is>
          <t>To apply</t>
        </is>
      </c>
      <c r="Q2" s="4" t="n"/>
      <c r="R2" s="4">
        <f>IF(Q2="","",Q2+7)</f>
        <v/>
      </c>
      <c r="S2" s="2" t="n"/>
      <c r="T2" s="2" t="inlineStr">
        <is>
          <t>Closest location to Kochi. Lead with agentic pipeline + self-correction loops.</t>
        </is>
      </c>
    </row>
    <row r="3">
      <c r="A3" s="2" t="n">
        <v>2</v>
      </c>
      <c r="B3" s="2" t="inlineStr">
        <is>
          <t>2026-10-12</t>
        </is>
      </c>
      <c r="C3" s="2" t="inlineStr">
        <is>
          <t>Nuraview AI &amp; Automations</t>
        </is>
      </c>
      <c r="D3" s="2" t="inlineStr">
        <is>
          <t>Junior AI Engineer</t>
        </is>
      </c>
      <c r="E3" s="2" t="inlineStr">
        <is>
          <t>Remote (India)</t>
        </is>
      </c>
      <c r="F3" s="2" t="inlineStr">
        <is>
          <t>Remote</t>
        </is>
      </c>
      <c r="G3" s="2" t="inlineStr">
        <is>
          <t>0–2 yrs</t>
        </is>
      </c>
      <c r="H3" s="2" t="inlineStr">
        <is>
          <t>Not disclosed</t>
        </is>
      </c>
      <c r="I3" s="2" t="inlineStr">
        <is>
          <t>2026-09-28</t>
        </is>
      </c>
      <c r="J3" s="2" t="inlineStr">
        <is>
          <t>Indeed</t>
        </is>
      </c>
      <c r="K3" s="3" t="inlineStr">
        <is>
          <t>Open posting</t>
        </is>
      </c>
      <c r="L3" s="2" t="n">
        <v>8</v>
      </c>
      <c r="M3" s="2" t="inlineStr">
        <is>
          <t>APPLY</t>
        </is>
      </c>
      <c r="N3" s="2" t="inlineStr">
        <is>
          <t>LLM APIs, prompt writing/testing, Python, REST/JSON, SQL, FastAPI, Docker, Git, GitHub projects</t>
        </is>
      </c>
      <c r="O3" s="2" t="inlineStr">
        <is>
          <t>Sales-automation domain (CRM/WhatsApp integrations)</t>
        </is>
      </c>
      <c r="P3" s="2" t="inlineStr">
        <is>
          <t>To apply</t>
        </is>
      </c>
      <c r="Q3" s="4" t="n"/>
      <c r="R3" s="4">
        <f>IF(Q3="","",Q3+7)</f>
        <v/>
      </c>
      <c r="S3" s="2" t="n"/>
      <c r="T3" s="2" t="inlineStr">
        <is>
          <t>Posting asks you to CONFIRM in the application that you are comfortable working fully remote.</t>
        </is>
      </c>
    </row>
    <row r="4">
      <c r="A4" s="2" t="n">
        <v>3</v>
      </c>
      <c r="B4" s="2" t="inlineStr">
        <is>
          <t>2026-10-12</t>
        </is>
      </c>
      <c r="C4" s="2" t="inlineStr">
        <is>
          <t>Infosys</t>
        </is>
      </c>
      <c r="D4" s="2" t="inlineStr">
        <is>
          <t>AI Engineer (LLM / NLP – Voice &amp; Chat)</t>
        </is>
      </c>
      <c r="E4" s="2" t="inlineStr">
        <is>
          <t>Bengaluru, Karnataka</t>
        </is>
      </c>
      <c r="F4" s="2" t="inlineStr">
        <is>
          <t>Not stated</t>
        </is>
      </c>
      <c r="G4" s="2" t="inlineStr">
        <is>
          <t>1+ yrs</t>
        </is>
      </c>
      <c r="H4" s="2" t="inlineStr">
        <is>
          <t>Not disclosed</t>
        </is>
      </c>
      <c r="I4" s="2" t="inlineStr">
        <is>
          <t>2026-10-03</t>
        </is>
      </c>
      <c r="J4" s="2" t="inlineStr">
        <is>
          <t>Indeed</t>
        </is>
      </c>
      <c r="K4" s="3" t="inlineStr">
        <is>
          <t>Open posting</t>
        </is>
      </c>
      <c r="L4" s="2" t="n">
        <v>7.5</v>
      </c>
      <c r="M4" s="2" t="inlineStr">
        <is>
          <t>APPLY</t>
        </is>
      </c>
      <c r="N4" s="2" t="inlineStr">
        <is>
          <t>Python, SQL, LLM prompt engineering, RAG, LangChain, LangGraph (agentic), vector DBs (ChromaDB)</t>
        </is>
      </c>
      <c r="O4" s="2" t="inlineStr">
        <is>
          <t>IVR/voice systems, text clustering, LLMOps tooling (MLflow/W&amp;B)</t>
        </is>
      </c>
      <c r="P4" s="2" t="inlineStr">
        <is>
          <t>To apply</t>
        </is>
      </c>
      <c r="Q4" s="4" t="n"/>
      <c r="R4" s="4">
        <f>IF(Q4="","",Q4+7)</f>
        <v/>
      </c>
      <c r="S4" s="2" t="n"/>
      <c r="T4" s="2" t="inlineStr">
        <is>
          <t>Requires relocation to Bengaluru.</t>
        </is>
      </c>
    </row>
    <row r="5">
      <c r="A5" s="2" t="n">
        <v>4</v>
      </c>
      <c r="B5" s="2" t="inlineStr">
        <is>
          <t>2026-10-12</t>
        </is>
      </c>
      <c r="C5" s="2" t="inlineStr">
        <is>
          <t>Dextora AI Education</t>
        </is>
      </c>
      <c r="D5" s="2" t="inlineStr">
        <is>
          <t>AI/ML Engineer (LLM &amp; RAG)</t>
        </is>
      </c>
      <c r="E5" s="2" t="inlineStr">
        <is>
          <t>Remote (India)</t>
        </is>
      </c>
      <c r="F5" s="2" t="inlineStr">
        <is>
          <t>Remote</t>
        </is>
      </c>
      <c r="G5" s="2" t="inlineStr">
        <is>
          <t>1–3 yrs</t>
        </is>
      </c>
      <c r="H5" s="2" t="inlineStr">
        <is>
          <t>₹15k–20k / month</t>
        </is>
      </c>
      <c r="I5" s="2" t="inlineStr">
        <is>
          <t>2026-09-27</t>
        </is>
      </c>
      <c r="J5" s="2" t="inlineStr">
        <is>
          <t>Indeed</t>
        </is>
      </c>
      <c r="K5" s="3" t="inlineStr">
        <is>
          <t>Open posting</t>
        </is>
      </c>
      <c r="L5" s="2" t="n">
        <v>7.5</v>
      </c>
      <c r="M5" s="2" t="inlineStr">
        <is>
          <t>APPLY (check pay)</t>
        </is>
      </c>
      <c r="N5" s="2" t="inlineStr">
        <is>
          <t>LLMs incl. Qwen, vLLM, RAG, ChromaDB, LangChain, prompt engineering, FastAPI, knowledge graphs/GraphRAG, Docker</t>
        </is>
      </c>
      <c r="O5" s="2" t="inlineStr">
        <is>
          <t>LLM fine-tuning, reranking/hybrid search, LangSmith/W&amp;B</t>
        </is>
      </c>
      <c r="P5" s="2" t="inlineStr">
        <is>
          <t>To apply</t>
        </is>
      </c>
      <c r="Q5" s="4" t="n"/>
      <c r="R5" s="4">
        <f>IF(Q5="","",Q5+7)</f>
        <v/>
      </c>
      <c r="S5" s="2" t="n"/>
      <c r="T5" s="2" t="inlineStr">
        <is>
          <t>Skills match is strong but stated pay is low – likely below current salary. Decide before applying.</t>
        </is>
      </c>
    </row>
    <row r="6">
      <c r="A6" s="2" t="n">
        <v>5</v>
      </c>
      <c r="B6" s="2" t="inlineStr">
        <is>
          <t>2026-10-12</t>
        </is>
      </c>
      <c r="C6" s="2" t="inlineStr">
        <is>
          <t>Techolution</t>
        </is>
      </c>
      <c r="D6" s="2" t="inlineStr">
        <is>
          <t>(Associate) AI Python Engineer</t>
        </is>
      </c>
      <c r="E6" s="2" t="inlineStr">
        <is>
          <t>Remote (India)</t>
        </is>
      </c>
      <c r="F6" s="2" t="inlineStr">
        <is>
          <t>Remote</t>
        </is>
      </c>
      <c r="G6" s="2" t="inlineStr">
        <is>
          <t>Not stated (associate)</t>
        </is>
      </c>
      <c r="H6" s="2" t="inlineStr">
        <is>
          <t>Not disclosed</t>
        </is>
      </c>
      <c r="I6" s="2" t="inlineStr">
        <is>
          <t>2026-10-08</t>
        </is>
      </c>
      <c r="J6" s="2" t="inlineStr">
        <is>
          <t>Indeed</t>
        </is>
      </c>
      <c r="K6" s="3" t="inlineStr">
        <is>
          <t>Open posting</t>
        </is>
      </c>
      <c r="L6" s="2" t="n">
        <v>7</v>
      </c>
      <c r="M6" s="2" t="inlineStr">
        <is>
          <t>APPLY</t>
        </is>
      </c>
      <c r="N6" s="2" t="inlineStr">
        <is>
          <t>Python, FastAPI, microservices, Docker, GenAI integration, LLM evaluation &amp; optimisation</t>
        </is>
      </c>
      <c r="O6" s="2" t="inlineStr">
        <is>
          <t>GCP, Redis/caching, Pydantic/OOP not explicit on CV</t>
        </is>
      </c>
      <c r="P6" s="2" t="inlineStr">
        <is>
          <t>To apply</t>
        </is>
      </c>
      <c r="Q6" s="4" t="n"/>
      <c r="R6" s="4">
        <f>IF(Q6="","",Q6+7)</f>
        <v/>
      </c>
      <c r="S6" s="2" t="n"/>
      <c r="T6" s="2" t="inlineStr"/>
    </row>
    <row r="7">
      <c r="A7" s="2" t="n">
        <v>6</v>
      </c>
      <c r="B7" s="2" t="inlineStr">
        <is>
          <t>2026-10-12</t>
        </is>
      </c>
      <c r="C7" s="2" t="inlineStr">
        <is>
          <t>Litmus7 System Consulting</t>
        </is>
      </c>
      <c r="D7" s="2" t="inlineStr">
        <is>
          <t>AI Engineer</t>
        </is>
      </c>
      <c r="E7" s="2" t="inlineStr">
        <is>
          <t>Thiruvananthapuram, Kerala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Not disclosed</t>
        </is>
      </c>
      <c r="I7" s="2" t="inlineStr">
        <is>
          <t>2026-07-01</t>
        </is>
      </c>
      <c r="J7" s="2" t="inlineStr">
        <is>
          <t>Indeed</t>
        </is>
      </c>
      <c r="K7" s="3" t="inlineStr">
        <is>
          <t>Open posting</t>
        </is>
      </c>
      <c r="L7" s="2" t="n">
        <v>6.5</v>
      </c>
      <c r="M7" s="2" t="inlineStr">
        <is>
          <t>CONSIDER</t>
        </is>
      </c>
      <c r="N7" s="2" t="inlineStr">
        <is>
          <t>DL/ML models, LLM use cases with guardrails, research/literature review (publication), debugging ML</t>
        </is>
      </c>
      <c r="O7" s="2" t="inlineStr">
        <is>
          <t>LLMOps tooling; posting is ~3 months old – may be filled</t>
        </is>
      </c>
      <c r="P7" s="2" t="inlineStr">
        <is>
          <t>To apply</t>
        </is>
      </c>
      <c r="Q7" s="4" t="n"/>
      <c r="R7" s="4">
        <f>IF(Q7="","",Q7+7)</f>
        <v/>
      </c>
      <c r="S7" s="2" t="n"/>
      <c r="T7" s="2" t="inlineStr"/>
    </row>
    <row r="8">
      <c r="A8" s="2" t="n">
        <v>7</v>
      </c>
      <c r="B8" s="2" t="inlineStr">
        <is>
          <t>2026-10-12</t>
        </is>
      </c>
      <c r="C8" s="2" t="inlineStr">
        <is>
          <t>Aigist24 Technologies</t>
        </is>
      </c>
      <c r="D8" s="2" t="inlineStr">
        <is>
          <t>ML Engineer (MLOps / GenAI on AWS)</t>
        </is>
      </c>
      <c r="E8" s="2" t="inlineStr">
        <is>
          <t>Kochi, Kerala</t>
        </is>
      </c>
      <c r="F8" s="2" t="inlineStr">
        <is>
          <t>On-site (US shift 3 PM–12 AM IST)</t>
        </is>
      </c>
      <c r="G8" s="2" t="inlineStr">
        <is>
          <t>Not stated</t>
        </is>
      </c>
      <c r="H8" s="2" t="inlineStr">
        <is>
          <t>From ₹3.5 LPA</t>
        </is>
      </c>
      <c r="I8" s="2" t="inlineStr">
        <is>
          <t>2026-10-09</t>
        </is>
      </c>
      <c r="J8" s="2" t="inlineStr">
        <is>
          <t>Indeed</t>
        </is>
      </c>
      <c r="K8" s="3" t="inlineStr">
        <is>
          <t>Open posting</t>
        </is>
      </c>
      <c r="L8" s="2" t="n">
        <v>6.5</v>
      </c>
      <c r="M8" s="2" t="inlineStr">
        <is>
          <t>CONSIDER</t>
        </is>
      </c>
      <c r="N8" s="2" t="inlineStr">
        <is>
          <t>Python, PySpark, SQL, PyTorch/TensorFlow, LLMs, RAG, prompt engineering, AI agents, Git, Power BI</t>
        </is>
      </c>
      <c r="O8" s="2" t="inlineStr">
        <is>
          <t>AWS (Bedrock, SageMaker, S3), Databricks, Airflow, GitHub Actions, MLOps monitoring</t>
        </is>
      </c>
      <c r="P8" s="2" t="inlineStr">
        <is>
          <t>Considering</t>
        </is>
      </c>
      <c r="Q8" s="4" t="n"/>
      <c r="R8" s="4">
        <f>IF(Q8="","",Q8+7)</f>
        <v/>
      </c>
      <c r="S8" s="2" t="n"/>
      <c r="T8" s="2" t="inlineStr">
        <is>
          <t>Night shift (dinner + transport provided). Pay floor is low.</t>
        </is>
      </c>
    </row>
    <row r="9">
      <c r="A9" s="2" t="n">
        <v>8</v>
      </c>
      <c r="B9" s="2" t="inlineStr">
        <is>
          <t>2026-10-12</t>
        </is>
      </c>
      <c r="C9" s="2" t="inlineStr">
        <is>
          <t>Honeywell</t>
        </is>
      </c>
      <c r="D9" s="2" t="inlineStr">
        <is>
          <t>AI Engineer II (GenAI / Agentic AI)</t>
        </is>
      </c>
      <c r="E9" s="2" t="inlineStr">
        <is>
          <t>Bengaluru, Karnataka</t>
        </is>
      </c>
      <c r="F9" s="2" t="inlineStr">
        <is>
          <t>Not stated</t>
        </is>
      </c>
      <c r="G9" s="2" t="inlineStr">
        <is>
          <t>3–6 yrs</t>
        </is>
      </c>
      <c r="H9" s="2" t="inlineStr">
        <is>
          <t>Not disclosed</t>
        </is>
      </c>
      <c r="I9" s="2" t="inlineStr">
        <is>
          <t>2026-09-17</t>
        </is>
      </c>
      <c r="J9" s="2" t="inlineStr">
        <is>
          <t>Indeed</t>
        </is>
      </c>
      <c r="K9" s="3" t="inlineStr">
        <is>
          <t>Open posting</t>
        </is>
      </c>
      <c r="L9" s="2" t="n">
        <v>6</v>
      </c>
      <c r="M9" s="2" t="inlineStr">
        <is>
          <t>STRETCH</t>
        </is>
      </c>
      <c r="N9" s="2" t="inlineStr">
        <is>
          <t>VLMs (Qwen vision), self-correction &amp; failure-recovery loops, structured outputs, LangGraph, on-prem LLM deployment – very strong skills overlap</t>
        </is>
      </c>
      <c r="O9" s="2" t="inlineStr">
        <is>
          <t>Experience (~1.5–2 yrs vs 3–6), cloud platform, team supervision</t>
        </is>
      </c>
      <c r="P9" s="2" t="inlineStr">
        <is>
          <t>Considering</t>
        </is>
      </c>
      <c r="Q9" s="4" t="n"/>
      <c r="R9" s="4">
        <f>IF(Q9="","",Q9+7)</f>
        <v/>
      </c>
      <c r="S9" s="2" t="n"/>
      <c r="T9" s="2" t="inlineStr">
        <is>
          <t>Skills overlap is unusually good – worth a stretch application.</t>
        </is>
      </c>
    </row>
    <row r="10">
      <c r="A10" s="2" t="n">
        <v>9</v>
      </c>
      <c r="B10" s="2" t="inlineStr">
        <is>
          <t>2026-10-12</t>
        </is>
      </c>
      <c r="C10" s="2" t="inlineStr">
        <is>
          <t>IntrCity by RailYatri</t>
        </is>
      </c>
      <c r="D10" s="2" t="inlineStr">
        <is>
          <t>Python Developer — AI &amp; Data</t>
        </is>
      </c>
      <c r="E10" s="2" t="inlineStr">
        <is>
          <t>Kochi, Kerala</t>
        </is>
      </c>
      <c r="F10" s="2" t="inlineStr">
        <is>
          <t>On-site</t>
        </is>
      </c>
      <c r="G10" s="2" t="inlineStr">
        <is>
          <t>3+ yrs Python (required)</t>
        </is>
      </c>
      <c r="H10" s="2" t="inlineStr">
        <is>
          <t>Not disclosed</t>
        </is>
      </c>
      <c r="I10" s="2" t="inlineStr">
        <is>
          <t>2026-08-05</t>
        </is>
      </c>
      <c r="J10" s="2" t="inlineStr">
        <is>
          <t>Indeed</t>
        </is>
      </c>
      <c r="K10" s="3" t="inlineStr">
        <is>
          <t>Open posting</t>
        </is>
      </c>
      <c r="L10" s="2" t="n">
        <v>6</v>
      </c>
      <c r="M10" s="2" t="inlineStr">
        <is>
          <t>STRETCH</t>
        </is>
      </c>
      <c r="N10" s="2" t="inlineStr">
        <is>
          <t>RAG, guardrails, evaluation, FastAPI, Pandas/NumPy, vLLM/local LLMs (bonus), Docker</t>
        </is>
      </c>
      <c r="O10" s="2" t="inlineStr">
        <is>
          <t>3 yrs backend Python required, MySQL/BigQuery, auth/security</t>
        </is>
      </c>
      <c r="P10" s="2" t="inlineStr">
        <is>
          <t>Considering</t>
        </is>
      </c>
      <c r="Q10" s="4" t="n"/>
      <c r="R10" s="4">
        <f>IF(Q10="","",Q10+7)</f>
        <v/>
      </c>
      <c r="S10" s="2" t="n"/>
      <c r="T10" s="2" t="inlineStr">
        <is>
          <t>Application asks for expected CTC.</t>
        </is>
      </c>
    </row>
    <row r="11">
      <c r="A11" s="2" t="n">
        <v>10</v>
      </c>
      <c r="B11" s="2" t="inlineStr">
        <is>
          <t>2026-10-12</t>
        </is>
      </c>
      <c r="C11" s="2" t="inlineStr">
        <is>
          <t>Infosys</t>
        </is>
      </c>
      <c r="D11" s="2" t="inlineStr">
        <is>
          <t>Python ML / GenAI</t>
        </is>
      </c>
      <c r="E11" s="2" t="inlineStr">
        <is>
          <t>Bengaluru, Karnataka</t>
        </is>
      </c>
      <c r="F11" s="2" t="inlineStr">
        <is>
          <t>Not stated</t>
        </is>
      </c>
      <c r="G11" s="2" t="inlineStr">
        <is>
          <t>3–5 yrs</t>
        </is>
      </c>
      <c r="H11" s="2" t="inlineStr">
        <is>
          <t>Not disclosed</t>
        </is>
      </c>
      <c r="I11" s="2" t="inlineStr">
        <is>
          <t>2026-09-28</t>
        </is>
      </c>
      <c r="J11" s="2" t="inlineStr">
        <is>
          <t>Indeed</t>
        </is>
      </c>
      <c r="K11" s="3" t="inlineStr">
        <is>
          <t>Open posting</t>
        </is>
      </c>
      <c r="L11" s="2" t="n">
        <v>5.5</v>
      </c>
      <c r="M11" s="2" t="inlineStr">
        <is>
          <t>STRETCH</t>
        </is>
      </c>
      <c r="N11" s="2" t="inlineStr">
        <is>
          <t>Python ML, NLP pipelines, LangChain, vector DBs, PyTorch, RAG</t>
        </is>
      </c>
      <c r="O11" s="2" t="inlineStr">
        <is>
          <t>3–5 yrs required, MLOps/monitoring</t>
        </is>
      </c>
      <c r="P11" s="2" t="inlineStr">
        <is>
          <t>Considering</t>
        </is>
      </c>
      <c r="Q11" s="4" t="n"/>
      <c r="R11" s="4">
        <f>IF(Q11="","",Q11+7)</f>
        <v/>
      </c>
      <c r="S11" s="2" t="n"/>
      <c r="T11" s="2" t="inlineStr"/>
    </row>
    <row r="12">
      <c r="A12" s="2" t="n">
        <v>11</v>
      </c>
      <c r="B12" s="2" t="inlineStr">
        <is>
          <t>2026-10-12</t>
        </is>
      </c>
      <c r="C12" s="2" t="inlineStr">
        <is>
          <t>Worldwide Clinical Trials</t>
        </is>
      </c>
      <c r="D12" s="2" t="inlineStr">
        <is>
          <t>AI Prompt Engineer (Commercial)</t>
        </is>
      </c>
      <c r="E12" s="2" t="inlineStr">
        <is>
          <t>Thiruvananthapuram, Kerala</t>
        </is>
      </c>
      <c r="F12" s="2" t="inlineStr">
        <is>
          <t>Not stated</t>
        </is>
      </c>
      <c r="G12" s="2" t="inlineStr">
        <is>
          <t>2+ yrs prompt fluency</t>
        </is>
      </c>
      <c r="H12" s="2" t="inlineStr">
        <is>
          <t>Not disclosed</t>
        </is>
      </c>
      <c r="I12" s="2" t="inlineStr">
        <is>
          <t>2026-08-12</t>
        </is>
      </c>
      <c r="J12" s="2" t="inlineStr">
        <is>
          <t>Indeed</t>
        </is>
      </c>
      <c r="K12" s="3" t="inlineStr">
        <is>
          <t>Open posting</t>
        </is>
      </c>
      <c r="L12" s="2" t="n">
        <v>5</v>
      </c>
      <c r="M12" s="2" t="inlineStr">
        <is>
          <t>CONSIDER</t>
        </is>
      </c>
      <c r="N12" s="2" t="inlineStr">
        <is>
          <t>Structured multi-step prompt systems, Claude Certified Developer, regulated clinical/pharma domain</t>
        </is>
      </c>
      <c r="O12" s="2" t="inlineStr">
        <is>
          <t>Non-engineering commercial role: proposals/RFP, pricing, Salesforce, enablement</t>
        </is>
      </c>
      <c r="P12" s="2" t="inlineStr">
        <is>
          <t>Considering</t>
        </is>
      </c>
      <c r="Q12" s="4" t="n"/>
      <c r="R12" s="4">
        <f>IF(Q12="","",Q12+7)</f>
        <v/>
      </c>
      <c r="S12" s="2" t="n"/>
      <c r="T12" s="2" t="inlineStr">
        <is>
          <t>Different career track (business, not engineering).</t>
        </is>
      </c>
    </row>
    <row r="13">
      <c r="A13" s="2" t="n">
        <v>12</v>
      </c>
      <c r="B13" s="2" t="inlineStr">
        <is>
          <t>2026-10-12</t>
        </is>
      </c>
      <c r="C13" s="2" t="inlineStr">
        <is>
          <t>Lightrains Technolabs</t>
        </is>
      </c>
      <c r="D13" s="2" t="inlineStr">
        <is>
          <t>Generative AI Engineer</t>
        </is>
      </c>
      <c r="E13" s="2" t="inlineStr">
        <is>
          <t>Thiruvananthapuram, Kerala</t>
        </is>
      </c>
      <c r="F13" s="2" t="inlineStr">
        <is>
          <t>Not stated</t>
        </is>
      </c>
      <c r="G13" s="2" t="inlineStr">
        <is>
          <t>3+ yrs</t>
        </is>
      </c>
      <c r="H13" s="2" t="inlineStr">
        <is>
          <t>Not disclosed</t>
        </is>
      </c>
      <c r="I13" s="2" t="inlineStr">
        <is>
          <t>2026-07-17</t>
        </is>
      </c>
      <c r="J13" s="2" t="inlineStr">
        <is>
          <t>Indeed</t>
        </is>
      </c>
      <c r="K13" s="3" t="inlineStr">
        <is>
          <t>Open posting</t>
        </is>
      </c>
      <c r="L13" s="2" t="n">
        <v>5</v>
      </c>
      <c r="M13" s="2" t="inlineStr">
        <is>
          <t>STRETCH</t>
        </is>
      </c>
      <c r="N13" s="2" t="inlineStr">
        <is>
          <t>RAG, agentic workflows, multimodal AI, PyTorch, REST deployment</t>
        </is>
      </c>
      <c r="O13" s="2" t="inlineStr">
        <is>
          <t>3+ yrs, LoRA/PEFT/RLHF fine-tuning</t>
        </is>
      </c>
      <c r="P13" s="2" t="inlineStr">
        <is>
          <t>Considering</t>
        </is>
      </c>
      <c r="Q13" s="4" t="n"/>
      <c r="R13" s="4">
        <f>IF(Q13="","",Q13+7)</f>
        <v/>
      </c>
      <c r="S13" s="2" t="n"/>
      <c r="T13" s="2" t="inlineStr">
        <is>
          <t>Applies via email template on their site.</t>
        </is>
      </c>
    </row>
    <row r="14">
      <c r="A14" s="2" t="n">
        <v>13</v>
      </c>
      <c r="B14" s="2" t="inlineStr">
        <is>
          <t>2026-10-12</t>
        </is>
      </c>
      <c r="C14" s="2" t="inlineStr">
        <is>
          <t>Boston Consulting Group (BCG X)</t>
        </is>
      </c>
      <c r="D14" s="2" t="inlineStr">
        <is>
          <t>Delivery AI Software Engineer</t>
        </is>
      </c>
      <c r="E14" s="2" t="inlineStr">
        <is>
          <t>Bengaluru / Gurgaon</t>
        </is>
      </c>
      <c r="F14" s="2" t="inlineStr">
        <is>
          <t>Not stated</t>
        </is>
      </c>
      <c r="G14" s="2" t="inlineStr">
        <is>
          <t>2–4 yrs</t>
        </is>
      </c>
      <c r="H14" s="2" t="inlineStr">
        <is>
          <t>Not disclosed</t>
        </is>
      </c>
      <c r="I14" s="2" t="inlineStr">
        <is>
          <t>2026-10-08</t>
        </is>
      </c>
      <c r="J14" s="2" t="inlineStr">
        <is>
          <t>Indeed</t>
        </is>
      </c>
      <c r="K14" s="3" t="inlineStr">
        <is>
          <t>Open posting</t>
        </is>
      </c>
      <c r="L14" s="2" t="n">
        <v>4.5</v>
      </c>
      <c r="M14" s="2" t="inlineStr">
        <is>
          <t>SKIP</t>
        </is>
      </c>
      <c r="N14" s="2" t="inlineStr">
        <is>
          <t>LLM apps, LangChain/LangGraph, function calling, FastAPI</t>
        </is>
      </c>
      <c r="O14" s="2" t="inlineStr">
        <is>
          <t>Full-stack web (React/Angular/TS) is core; consulting experience</t>
        </is>
      </c>
      <c r="P14" s="2" t="inlineStr">
        <is>
          <t>Skipped</t>
        </is>
      </c>
      <c r="Q14" s="4" t="n"/>
      <c r="R14" s="4">
        <f>IF(Q14="","",Q14+7)</f>
        <v/>
      </c>
      <c r="S14" s="2" t="n"/>
      <c r="T14" s="2" t="inlineStr"/>
    </row>
    <row r="15">
      <c r="A15" s="2" t="n">
        <v>14</v>
      </c>
      <c r="B15" s="2" t="inlineStr">
        <is>
          <t>2026-10-12</t>
        </is>
      </c>
      <c r="C15" s="2" t="inlineStr">
        <is>
          <t>Albetech Software Solutions</t>
        </is>
      </c>
      <c r="D15" s="2" t="inlineStr">
        <is>
          <t>AI / Data Engineer</t>
        </is>
      </c>
      <c r="E15" s="2" t="inlineStr">
        <is>
          <t>Pattom, Thiruvananthapuram</t>
        </is>
      </c>
      <c r="F15" s="2" t="inlineStr">
        <is>
          <t>On-site</t>
        </is>
      </c>
      <c r="G15" s="2" t="inlineStr">
        <is>
          <t>3–6 yrs</t>
        </is>
      </c>
      <c r="H15" s="2" t="inlineStr">
        <is>
          <t>₹50k–100k / month</t>
        </is>
      </c>
      <c r="I15" s="2" t="inlineStr">
        <is>
          <t>2026-10-07</t>
        </is>
      </c>
      <c r="J15" s="2" t="inlineStr">
        <is>
          <t>Indeed</t>
        </is>
      </c>
      <c r="K15" s="3" t="inlineStr">
        <is>
          <t>Open posting</t>
        </is>
      </c>
      <c r="L15" s="2" t="n">
        <v>4.5</v>
      </c>
      <c r="M15" s="2" t="inlineStr">
        <is>
          <t>SKIP</t>
        </is>
      </c>
      <c r="N15" s="2" t="inlineStr">
        <is>
          <t>M.Sc CS, data engineering</t>
        </is>
      </c>
      <c r="O15" s="2" t="inlineStr">
        <is>
          <t>Requires cloud data-engineering/ML certification + 3 yrs</t>
        </is>
      </c>
      <c r="P15" s="2" t="inlineStr">
        <is>
          <t>Skipped</t>
        </is>
      </c>
      <c r="Q15" s="4" t="n"/>
      <c r="R15" s="4">
        <f>IF(Q15="","",Q15+7)</f>
        <v/>
      </c>
      <c r="S15" s="2" t="n"/>
      <c r="T15" s="2" t="inlineStr"/>
    </row>
    <row r="16">
      <c r="A16" s="2" t="n">
        <v>15</v>
      </c>
      <c r="B16" s="2" t="inlineStr">
        <is>
          <t>2026-10-12</t>
        </is>
      </c>
      <c r="C16" s="2" t="inlineStr">
        <is>
          <t>Solventum (ex-3M Health Care)</t>
        </is>
      </c>
      <c r="D16" s="2" t="inlineStr">
        <is>
          <t>AI/ML Engineer</t>
        </is>
      </c>
      <c r="E16" s="2" t="inlineStr">
        <is>
          <t>Bengaluru, Karnataka</t>
        </is>
      </c>
      <c r="F16" s="2" t="inlineStr">
        <is>
          <t>Hybrid</t>
        </is>
      </c>
      <c r="G16" s="2" t="inlineStr">
        <is>
          <t>5–10 yrs</t>
        </is>
      </c>
      <c r="H16" s="2" t="inlineStr">
        <is>
          <t>Not disclosed</t>
        </is>
      </c>
      <c r="I16" s="2" t="inlineStr">
        <is>
          <t>2026-10-07</t>
        </is>
      </c>
      <c r="J16" s="2" t="inlineStr">
        <is>
          <t>Indeed</t>
        </is>
      </c>
      <c r="K16" s="3" t="inlineStr">
        <is>
          <t>Open posting</t>
        </is>
      </c>
      <c r="L16" s="2" t="n">
        <v>4</v>
      </c>
      <c r="M16" s="2" t="inlineStr">
        <is>
          <t>SKIP</t>
        </is>
      </c>
      <c r="N16" s="2" t="inlineStr">
        <is>
          <t>Healthcare/regulated domain, LLM/RAG/agents, M.Sc</t>
        </is>
      </c>
      <c r="O16" s="2" t="inlineStr">
        <is>
          <t>5–10 yrs required</t>
        </is>
      </c>
      <c r="P16" s="2" t="inlineStr">
        <is>
          <t>Skipped</t>
        </is>
      </c>
      <c r="Q16" s="4" t="n"/>
      <c r="R16" s="4">
        <f>IF(Q16="","",Q16+7)</f>
        <v/>
      </c>
      <c r="S16" s="2" t="n"/>
      <c r="T16" s="2" t="inlineStr"/>
    </row>
    <row r="17">
      <c r="A17" s="2" t="n">
        <v>16</v>
      </c>
      <c r="B17" s="2" t="inlineStr">
        <is>
          <t>2026-10-12</t>
        </is>
      </c>
      <c r="C17" s="2" t="inlineStr">
        <is>
          <t>FuGenEd</t>
        </is>
      </c>
      <c r="D17" s="2" t="inlineStr">
        <is>
          <t>LLM Engineer</t>
        </is>
      </c>
      <c r="E17" s="2" t="inlineStr">
        <is>
          <t>Remote (India)</t>
        </is>
      </c>
      <c r="F17" s="2" t="inlineStr">
        <is>
          <t>Remote</t>
        </is>
      </c>
      <c r="G17" s="2" t="inlineStr">
        <is>
          <t>4+ yrs</t>
        </is>
      </c>
      <c r="H17" s="2" t="inlineStr">
        <is>
          <t>₹80k–100k / month</t>
        </is>
      </c>
      <c r="I17" s="2" t="inlineStr">
        <is>
          <t>2026-07-30</t>
        </is>
      </c>
      <c r="J17" s="2" t="inlineStr">
        <is>
          <t>Indeed</t>
        </is>
      </c>
      <c r="K17" s="3" t="inlineStr">
        <is>
          <t>Open posting</t>
        </is>
      </c>
      <c r="L17" s="2" t="n">
        <v>4</v>
      </c>
      <c r="M17" s="2" t="inlineStr">
        <is>
          <t>SKIP</t>
        </is>
      </c>
      <c r="N17" s="2" t="inlineStr">
        <is>
          <t>LangGraph, RAG, ChromaDB, function calling</t>
        </is>
      </c>
      <c r="O17" s="2" t="inlineStr">
        <is>
          <t>4+ yrs, UAN/BGV required</t>
        </is>
      </c>
      <c r="P17" s="2" t="inlineStr">
        <is>
          <t>Skipped</t>
        </is>
      </c>
      <c r="Q17" s="4" t="n"/>
      <c r="R17" s="4">
        <f>IF(Q17="","",Q17+7)</f>
        <v/>
      </c>
      <c r="S17" s="2" t="n"/>
      <c r="T17" s="2" t="inlineStr"/>
    </row>
    <row r="18">
      <c r="A18" s="2" t="n">
        <v>17</v>
      </c>
      <c r="B18" s="2" t="inlineStr">
        <is>
          <t>2026-10-12</t>
        </is>
      </c>
      <c r="C18" s="2" t="inlineStr">
        <is>
          <t>GrayMatter Software Services</t>
        </is>
      </c>
      <c r="D18" s="2" t="inlineStr">
        <is>
          <t>AI Engineer (mid-level)</t>
        </is>
      </c>
      <c r="E18" s="2" t="inlineStr">
        <is>
          <t>Bengaluru, Karnataka</t>
        </is>
      </c>
      <c r="F18" s="2" t="inlineStr">
        <is>
          <t>Not stated</t>
        </is>
      </c>
      <c r="G18" s="2" t="inlineStr">
        <is>
          <t>3–5 yrs</t>
        </is>
      </c>
      <c r="H18" s="2" t="inlineStr">
        <is>
          <t>Not disclosed</t>
        </is>
      </c>
      <c r="I18" s="2" t="inlineStr">
        <is>
          <t>2026-03-02</t>
        </is>
      </c>
      <c r="J18" s="2" t="inlineStr">
        <is>
          <t>Indeed</t>
        </is>
      </c>
      <c r="K18" s="3" t="inlineStr">
        <is>
          <t>Open posting</t>
        </is>
      </c>
      <c r="L18" s="2" t="n">
        <v>4</v>
      </c>
      <c r="M18" s="2" t="inlineStr">
        <is>
          <t>SKIP</t>
        </is>
      </c>
      <c r="N18" s="2" t="inlineStr">
        <is>
          <t>Python ML, EDA, time-series forecasting</t>
        </is>
      </c>
      <c r="O18" s="2" t="inlineStr">
        <is>
          <t>3+ production use cases, mentoring, K8s/SageMaker; old posting</t>
        </is>
      </c>
      <c r="P18" s="2" t="inlineStr">
        <is>
          <t>Skipped</t>
        </is>
      </c>
      <c r="Q18" s="4" t="n"/>
      <c r="R18" s="4">
        <f>IF(Q18="","",Q18+7)</f>
        <v/>
      </c>
      <c r="S18" s="2" t="n"/>
      <c r="T18" s="2" t="inlineStr"/>
    </row>
    <row r="19">
      <c r="A19" s="2" t="n">
        <v>18</v>
      </c>
      <c r="B19" s="2" t="inlineStr">
        <is>
          <t>2026-10-12</t>
        </is>
      </c>
      <c r="C19" s="2" t="inlineStr">
        <is>
          <t>UST</t>
        </is>
      </c>
      <c r="D19" s="2" t="inlineStr">
        <is>
          <t>ML Engineer II (Python &amp; GenAI)</t>
        </is>
      </c>
      <c r="E19" s="2" t="inlineStr">
        <is>
          <t>Thiruvananthapuram, Kerala</t>
        </is>
      </c>
      <c r="F19" s="2" t="inlineStr">
        <is>
          <t>Not stated</t>
        </is>
      </c>
      <c r="G19" s="2" t="inlineStr">
        <is>
          <t>5+ yrs</t>
        </is>
      </c>
      <c r="H19" s="2" t="inlineStr">
        <is>
          <t>Not disclosed</t>
        </is>
      </c>
      <c r="I19" s="2" t="inlineStr">
        <is>
          <t>2026-09-08</t>
        </is>
      </c>
      <c r="J19" s="2" t="inlineStr">
        <is>
          <t>Indeed</t>
        </is>
      </c>
      <c r="K19" s="3" t="inlineStr">
        <is>
          <t>Open posting</t>
        </is>
      </c>
      <c r="L19" s="2" t="n">
        <v>3.5</v>
      </c>
      <c r="M19" s="2" t="inlineStr">
        <is>
          <t>SKIP</t>
        </is>
      </c>
      <c r="N19" s="2" t="inlineStr">
        <is>
          <t>Python, FastAPI, GenAI</t>
        </is>
      </c>
      <c r="O19" s="2" t="inlineStr">
        <is>
          <t>5+ yrs backend</t>
        </is>
      </c>
      <c r="P19" s="2" t="inlineStr">
        <is>
          <t>Skipped</t>
        </is>
      </c>
      <c r="Q19" s="4" t="n"/>
      <c r="R19" s="4">
        <f>IF(Q19="","",Q19+7)</f>
        <v/>
      </c>
      <c r="S19" s="2" t="n"/>
      <c r="T19" s="2" t="inlineStr"/>
    </row>
    <row r="20">
      <c r="A20" s="2" t="n">
        <v>19</v>
      </c>
      <c r="B20" s="2" t="inlineStr">
        <is>
          <t>2026-10-12</t>
        </is>
      </c>
      <c r="C20" s="2" t="inlineStr">
        <is>
          <t>iDatalytics Technologies</t>
        </is>
      </c>
      <c r="D20" s="2" t="inlineStr">
        <is>
          <t>AI Engineer</t>
        </is>
      </c>
      <c r="E20" s="2" t="inlineStr">
        <is>
          <t>Kochi, Kerala</t>
        </is>
      </c>
      <c r="F20" s="2" t="inlineStr">
        <is>
          <t>On-site</t>
        </is>
      </c>
      <c r="G20" s="2" t="inlineStr">
        <is>
          <t>4–5 yrs</t>
        </is>
      </c>
      <c r="H20" s="2" t="inlineStr">
        <is>
          <t>Not disclosed</t>
        </is>
      </c>
      <c r="I20" s="2" t="inlineStr">
        <is>
          <t>2026-06-23</t>
        </is>
      </c>
      <c r="J20" s="2" t="inlineStr">
        <is>
          <t>Indeed</t>
        </is>
      </c>
      <c r="K20" s="3" t="inlineStr">
        <is>
          <t>Open posting</t>
        </is>
      </c>
      <c r="L20" s="2" t="n">
        <v>3.5</v>
      </c>
      <c r="M20" s="2" t="inlineStr">
        <is>
          <t>SKIP</t>
        </is>
      </c>
      <c r="N20" s="2" t="inlineStr">
        <is>
          <t>LangChain, PyTorch, LLM prototyping</t>
        </is>
      </c>
      <c r="O20" s="2" t="inlineStr">
        <is>
          <t>4–5 yrs SWE, C#/Java</t>
        </is>
      </c>
      <c r="P20" s="2" t="inlineStr">
        <is>
          <t>Skipped</t>
        </is>
      </c>
      <c r="Q20" s="4" t="n"/>
      <c r="R20" s="4">
        <f>IF(Q20="","",Q20+7)</f>
        <v/>
      </c>
      <c r="S20" s="2" t="n"/>
      <c r="T20" s="2" t="inlineStr"/>
    </row>
    <row r="21">
      <c r="A21" s="2" t="n">
        <v>20</v>
      </c>
      <c r="B21" s="2" t="inlineStr">
        <is>
          <t>2026-10-12</t>
        </is>
      </c>
      <c r="C21" s="2" t="inlineStr">
        <is>
          <t>Accenture</t>
        </is>
      </c>
      <c r="D21" s="2" t="inlineStr">
        <is>
          <t>AI / ML Engineer</t>
        </is>
      </c>
      <c r="E21" s="2" t="inlineStr">
        <is>
          <t>Bengaluru, Karnataka</t>
        </is>
      </c>
      <c r="F21" s="2" t="inlineStr">
        <is>
          <t>Not stated</t>
        </is>
      </c>
      <c r="G21" s="2" t="inlineStr">
        <is>
          <t>18 yrs</t>
        </is>
      </c>
      <c r="H21" s="2" t="inlineStr">
        <is>
          <t>Not disclosed</t>
        </is>
      </c>
      <c r="I21" s="2" t="inlineStr">
        <is>
          <t>2026-09-10</t>
        </is>
      </c>
      <c r="J21" s="2" t="inlineStr">
        <is>
          <t>Indeed</t>
        </is>
      </c>
      <c r="K21" s="3" t="inlineStr">
        <is>
          <t>Open posting</t>
        </is>
      </c>
      <c r="L21" s="2" t="n">
        <v>1</v>
      </c>
      <c r="M21" s="2" t="inlineStr">
        <is>
          <t>SKIP</t>
        </is>
      </c>
      <c r="N21" s="2" t="inlineStr">
        <is>
          <t>LLMs</t>
        </is>
      </c>
      <c r="O21" s="2" t="inlineStr">
        <is>
          <t>Senior SME role, 18 yrs</t>
        </is>
      </c>
      <c r="P21" s="2" t="inlineStr">
        <is>
          <t>Skipped</t>
        </is>
      </c>
      <c r="Q21" s="4" t="n"/>
      <c r="R21" s="4">
        <f>IF(Q21="","",Q21+7)</f>
        <v/>
      </c>
      <c r="S21" s="2" t="n"/>
      <c r="T21" s="2" t="inlineStr"/>
    </row>
  </sheetData>
  <autoFilter ref="A1:T21"/>
  <conditionalFormatting sqref="M2:M200">
    <cfRule type="expression" priority="1" dxfId="0">
      <formula>LEFT($M2,5)="APPLY"</formula>
    </cfRule>
    <cfRule type="expression" priority="2" dxfId="1">
      <formula>LEFT($M2,8)="CONSIDER"</formula>
    </cfRule>
    <cfRule type="expression" priority="3" dxfId="2">
      <formula>LEFT($M2,7)="STRETCH"</formula>
    </cfRule>
    <cfRule type="expression" priority="4" dxfId="3">
      <formula>LEFT($M2,4)="SKIP"</formula>
    </cfRule>
  </conditionalFormatting>
  <conditionalFormatting sqref="P2:P200">
    <cfRule type="cellIs" priority="5" operator="equal" dxfId="4">
      <formula>"Applied"</formula>
    </cfRule>
    <cfRule type="cellIs" priority="6" operator="equal" dxfId="0">
      <formula>"Interviewing"</formula>
    </cfRule>
    <cfRule type="cellIs" priority="7" operator="equal" dxfId="5">
      <formula>"Offer"</formula>
    </cfRule>
    <cfRule type="cellIs" priority="8" operator="equal" dxfId="6">
      <formula>"Rejected"</formula>
    </cfRule>
  </conditionalFormatting>
  <dataValidations count="1">
    <dataValidation sqref="P2:P200" showDropDown="0" showInputMessage="0" showErrorMessage="0" allowBlank="1" type="list">
      <formula1>"To apply,Considering,Applied,Interviewing,Offer,Rejected,Withdrawn,Skipped"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5" t="inlineStr">
        <is>
          <t>Job Search Summary – Thejas Haridas</t>
        </is>
      </c>
    </row>
    <row r="2">
      <c r="A2" t="inlineStr">
        <is>
          <t>Target: AI/ML Engineer · LLM / GenAI Engineer · Kerala, Bengaluru, Remote (India)</t>
        </is>
      </c>
    </row>
    <row r="4">
      <c r="A4" s="6" t="inlineStr">
        <is>
          <t>Status</t>
        </is>
      </c>
      <c r="B4" s="6" t="inlineStr">
        <is>
          <t>Count</t>
        </is>
      </c>
    </row>
    <row r="5">
      <c r="A5" t="inlineStr">
        <is>
          <t>To apply</t>
        </is>
      </c>
      <c r="B5">
        <f>COUNTIF(Tracker!P:P,"To apply")</f>
        <v/>
      </c>
    </row>
    <row r="6">
      <c r="A6" t="inlineStr">
        <is>
          <t>Considering</t>
        </is>
      </c>
      <c r="B6">
        <f>COUNTIF(Tracker!P:P,"Considering")</f>
        <v/>
      </c>
    </row>
    <row r="7">
      <c r="A7" t="inlineStr">
        <is>
          <t>Applied</t>
        </is>
      </c>
      <c r="B7">
        <f>COUNTIF(Tracker!P:P,"Applied")</f>
        <v/>
      </c>
    </row>
    <row r="8">
      <c r="A8" t="inlineStr">
        <is>
          <t>Interviewing</t>
        </is>
      </c>
      <c r="B8">
        <f>COUNTIF(Tracker!P:P,"Interviewing")</f>
        <v/>
      </c>
    </row>
    <row r="9">
      <c r="A9" t="inlineStr">
        <is>
          <t>Offer</t>
        </is>
      </c>
      <c r="B9">
        <f>COUNTIF(Tracker!P:P,"Offer")</f>
        <v/>
      </c>
    </row>
    <row r="10">
      <c r="A10" t="inlineStr">
        <is>
          <t>Rejected</t>
        </is>
      </c>
      <c r="B10">
        <f>COUNTIF(Tracker!P:P,"Rejected")</f>
        <v/>
      </c>
    </row>
    <row r="11">
      <c r="A11" t="inlineStr">
        <is>
          <t>Withdrawn</t>
        </is>
      </c>
      <c r="B11">
        <f>COUNTIF(Tracker!P:P,"Withdrawn")</f>
        <v/>
      </c>
    </row>
    <row r="12">
      <c r="A12" t="inlineStr">
        <is>
          <t>Skipped</t>
        </is>
      </c>
      <c r="B12">
        <f>COUNTIF(Tracker!P:P,"Skipped")</f>
        <v/>
      </c>
    </row>
    <row r="13">
      <c r="A13" s="7" t="inlineStr">
        <is>
          <t>Total tracked</t>
        </is>
      </c>
      <c r="B13">
        <f>COUNTA(Tracker!C2:C500)</f>
        <v/>
      </c>
    </row>
    <row r="15">
      <c r="A15" s="6" t="inlineStr">
        <is>
          <t>Recommendation</t>
        </is>
      </c>
      <c r="B15" s="6" t="inlineStr">
        <is>
          <t>Count</t>
        </is>
      </c>
    </row>
    <row r="16">
      <c r="A16" t="inlineStr">
        <is>
          <t>APPLY</t>
        </is>
      </c>
      <c r="B16">
        <f>COUNTIF(Tracker!M:M,"APPLY*")</f>
        <v/>
      </c>
    </row>
    <row r="17">
      <c r="A17" t="inlineStr">
        <is>
          <t>CONSIDER</t>
        </is>
      </c>
      <c r="B17">
        <f>COUNTIF(Tracker!M:M,"CONSIDER")</f>
        <v/>
      </c>
    </row>
    <row r="18">
      <c r="A18" t="inlineStr">
        <is>
          <t>STRETCH</t>
        </is>
      </c>
      <c r="B18">
        <f>COUNTIF(Tracker!M:M,"STRETCH")</f>
        <v/>
      </c>
    </row>
    <row r="19">
      <c r="A19" t="inlineStr">
        <is>
          <t>SKIP</t>
        </is>
      </c>
      <c r="B19">
        <f>COUNTIF(Tracker!M:M,"SKIP")</f>
        <v/>
      </c>
    </row>
    <row r="21">
      <c r="A21" t="inlineStr">
        <is>
          <t>Average fit score</t>
        </is>
      </c>
      <c r="B21">
        <f>ROUND(AVERAGE(Tracker!L2:L500),1)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4" customWidth="1" min="3" max="3"/>
    <col width="26" customWidth="1" min="4" max="4"/>
    <col width="44" customWidth="1" min="5" max="5"/>
  </cols>
  <sheetData>
    <row r="1">
      <c r="A1" s="6" t="inlineStr">
        <is>
          <t>Date</t>
        </is>
      </c>
      <c r="B1" s="6" t="inlineStr">
        <is>
          <t>Source</t>
        </is>
      </c>
      <c r="C1" s="6" t="inlineStr">
        <is>
          <t>Query</t>
        </is>
      </c>
      <c r="D1" s="6" t="inlineStr">
        <is>
          <t>Location</t>
        </is>
      </c>
      <c r="E1" s="6" t="inlineStr">
        <is>
          <t>Result</t>
        </is>
      </c>
    </row>
    <row r="2">
      <c r="A2" t="inlineStr">
        <is>
          <t>2026-10-12</t>
        </is>
      </c>
      <c r="B2" t="inlineStr">
        <is>
          <t>Indeed</t>
        </is>
      </c>
      <c r="C2" t="inlineStr">
        <is>
          <t>AI ML Engineer LLM</t>
        </is>
      </c>
      <c r="D2" t="inlineStr">
        <is>
          <t>Kochi, Kerala</t>
        </is>
      </c>
      <c r="E2" t="inlineStr">
        <is>
          <t>OK</t>
        </is>
      </c>
    </row>
    <row r="3">
      <c r="A3" t="inlineStr">
        <is>
          <t>2026-10-12</t>
        </is>
      </c>
      <c r="B3" t="inlineStr">
        <is>
          <t>Indeed</t>
        </is>
      </c>
      <c r="C3" t="inlineStr">
        <is>
          <t>Machine Learning Engineer</t>
        </is>
      </c>
      <c r="D3" t="inlineStr">
        <is>
          <t>Thiruvananthapuram, Kerala</t>
        </is>
      </c>
      <c r="E3" t="inlineStr">
        <is>
          <t>OK</t>
        </is>
      </c>
    </row>
    <row r="4">
      <c r="A4" t="inlineStr">
        <is>
          <t>2026-10-12</t>
        </is>
      </c>
      <c r="B4" t="inlineStr">
        <is>
          <t>Indeed</t>
        </is>
      </c>
      <c r="C4" t="inlineStr">
        <is>
          <t>Generative AI Engineer</t>
        </is>
      </c>
      <c r="D4" t="inlineStr">
        <is>
          <t>Bengaluru, Karnataka</t>
        </is>
      </c>
      <c r="E4" t="inlineStr">
        <is>
          <t>OK</t>
        </is>
      </c>
    </row>
    <row r="5">
      <c r="A5" t="inlineStr">
        <is>
          <t>2026-10-12</t>
        </is>
      </c>
      <c r="B5" t="inlineStr">
        <is>
          <t>Indeed</t>
        </is>
      </c>
      <c r="C5" t="inlineStr">
        <is>
          <t>Junior AI Engineer LLM RAG</t>
        </is>
      </c>
      <c r="D5" t="inlineStr">
        <is>
          <t>Bengaluru, Karnataka</t>
        </is>
      </c>
      <c r="E5" t="inlineStr">
        <is>
          <t>OK</t>
        </is>
      </c>
    </row>
    <row r="6">
      <c r="A6" t="inlineStr">
        <is>
          <t>2026-10-12</t>
        </is>
      </c>
      <c r="B6" t="inlineStr">
        <is>
          <t>Indeed</t>
        </is>
      </c>
      <c r="C6" t="inlineStr">
        <is>
          <t>LLM Engineer</t>
        </is>
      </c>
      <c r="D6" t="inlineStr">
        <is>
          <t>Remote (India)</t>
        </is>
      </c>
      <c r="E6" t="inlineStr">
        <is>
          <t>OK</t>
        </is>
      </c>
    </row>
    <row r="7">
      <c r="A7" t="inlineStr">
        <is>
          <t>2026-10-12</t>
        </is>
      </c>
      <c r="B7" t="inlineStr">
        <is>
          <t>Indeed</t>
        </is>
      </c>
      <c r="C7" t="inlineStr">
        <is>
          <t>Data Scientist GenAI</t>
        </is>
      </c>
      <c r="D7" t="inlineStr">
        <is>
          <t>Kochi, Kerala</t>
        </is>
      </c>
      <c r="E7" t="inlineStr">
        <is>
          <t>OK</t>
        </is>
      </c>
    </row>
    <row r="8">
      <c r="A8" t="inlineStr">
        <is>
          <t>2026-10-12</t>
        </is>
      </c>
      <c r="B8" t="inlineStr">
        <is>
          <t>LinkedIn (ai-job-search linkedin-search)</t>
        </is>
      </c>
      <c r="C8" t="inlineStr">
        <is>
          <t>AI/ML Engineer, LLM Engineer, GenAI Engineer</t>
        </is>
      </c>
      <c r="D8" t="inlineStr">
        <is>
          <t>Kochi / Bengaluru / India</t>
        </is>
      </c>
      <c r="E8" t="inlineStr">
        <is>
          <t>Blocked – 403 from sandbox network policy</t>
        </is>
      </c>
    </row>
    <row r="9">
      <c r="A9" t="inlineStr">
        <is>
          <t>2026-10-12</t>
        </is>
      </c>
      <c r="B9" t="inlineStr">
        <is>
          <t>freehire.me (ai-job-search freehire-search)</t>
        </is>
      </c>
      <c r="C9" t="inlineStr">
        <is>
          <t>category ml_ai, country IN; LLM remote</t>
        </is>
      </c>
      <c r="D9" t="inlineStr">
        <is>
          <t>India / Remote</t>
        </is>
      </c>
      <c r="E9" t="inlineStr">
        <is>
          <t>Blocked – 403 from sandbox network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2026-10-12T16:26:21Z</dcterms:created>
  <dcterms:modified xmlns:dcterms="http://purl.org/dc/terms/" xmlns:xsi="http://www.w3.org/2001/XMLSchema-instance" xsi:type="dcterms:W3CDTF">2026-10-12T16:26:21Z</dcterms:modified>
</cp:coreProperties>
</file>